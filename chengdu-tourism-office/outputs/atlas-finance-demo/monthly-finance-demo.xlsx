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4c8a26da2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vA" sheetId="1" r:id="R2d9366b1282a491c"/>
    <x:sheet xmlns:r="http://schemas.openxmlformats.org/officeDocument/2006/relationships" name="Booking log" sheetId="2" r:id="Rd050871a4fc0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CNY &quot;#,##0;(&quot;CNY &quot;#,##0);-"/>
  </x:numFmts>
  <x:fonts count="9">
    <x:font>
      <x:sz val="11"/>
      <x:name val="Carlito"/>
    </x:font>
    <x:font>
      <x:sz val="10"/>
      <x:color rgb="FF27342F"/>
      <x:name val="Arial"/>
    </x:font>
    <x:font>
      <x:b/>
      <x:sz val="15"/>
      <x:color rgb="FF183D33"/>
      <x:name val="Arial"/>
    </x:font>
    <x:font>
      <x:i/>
      <x:sz val="10"/>
      <x:color rgb="FF64736A"/>
      <x:name val="Arial"/>
    </x:font>
    <x:font>
      <x:b/>
      <x:sz val="10"/>
      <x:color rgb="FF254D3F"/>
      <x:name val="Arial"/>
    </x:font>
    <x:font>
      <x:b/>
      <x:sz val="10"/>
      <x:color rgb="FF64533C"/>
      <x:name val="Arial"/>
    </x:font>
    <x:font>
      <x:b/>
      <x:sz val="10"/>
      <x:color rgb="FFFFFFFF"/>
      <x:name val="Arial"/>
    </x:font>
    <x:font>
      <x:b/>
      <x:sz val="10"/>
      <x:color rgb="FF183D33"/>
      <x:name val="Arial"/>
    </x:font>
    <x:font>
      <x:sz val="10"/>
      <x:color rgb="FF2856A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8F0EC"/>
      </x:patternFill>
    </x:fill>
    <x:fill>
      <x:patternFill patternType="solid">
        <x:fgColor rgb="FFF2EEE6"/>
      </x:patternFill>
    </x:fill>
    <x:fill>
      <x:patternFill patternType="solid">
        <x:fgColor rgb="FF245C4D"/>
      </x:patternFill>
    </x:fill>
    <x:fill>
      <x:patternFill patternType="solid">
        <x:fgColor rgb="FF715F46"/>
      </x:patternFill>
    </x:fill>
    <x:fill>
      <x:patternFill patternType="solid">
        <x:fgColor rgb="FFF7FAF7"/>
      </x:patternFill>
    </x:fill>
    <x:fill>
      <x:patternFill patternType="solid">
        <x:fgColor rgb="FFFBF8F4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7" fillId="6" borderId="0" xfId="0" applyNumberFormat="1" applyFont="1" applyFill="1" applyBorder="1"/>
    <x:xf numFmtId="0" fontId="7" fillId="0" borderId="0" xfId="0" applyNumberFormat="1" applyFont="1" applyFill="1" applyBorder="1"/>
    <x:xf numFmtId="0" fontId="7" fillId="7" borderId="0" xfId="0" applyNumberFormat="1" applyFont="1" applyFill="1" applyBorder="1"/>
    <x:xf numFmtId="0" fontId="8" fillId="0" borderId="0" xfId="0" applyNumberFormat="1" applyFont="1" applyFill="1" applyBorder="1"/>
    <x:xf numFmtId="200" fontId="7" fillId="6" borderId="0" xfId="0" applyNumberFormat="1" applyFont="1" applyFill="1" applyBorder="1"/>
    <x:xf numFmtId="200" fontId="1" fillId="0" borderId="0" xfId="0" applyNumberFormat="1" applyFont="1" applyFill="1" applyBorder="1"/>
    <x:xf numFmtId="200" fontId="6" fillId="4" borderId="0" xfId="0" applyNumberFormat="1" applyFont="1" applyFill="1" applyBorder="1"/>
    <x:xf numFmtId="200" fontId="8" fillId="0" borderId="0" xfId="0" applyNumberFormat="1" applyFont="1" applyFill="1" applyBorder="1"/>
    <x:xf numFmtId="200" fontId="7" fillId="7" borderId="0" xfId="0" applyNumberFormat="1" applyFont="1" applyFill="1" applyBorder="1"/>
    <x:xf numFmtId="200" fontId="6" fillId="5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E3C2F"/>
      </x:font>
      <x:fill>
        <x:patternFill patternType="solid">
          <x:bgColor rgb="FFFCEC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99e886cad41cb" /><Relationship Type="http://schemas.openxmlformats.org/officeDocument/2006/relationships/theme" Target="/xl/theme/theme1.xml" Id="Rce4abd3a80cc49a2" /><Relationship Type="http://schemas.openxmlformats.org/officeDocument/2006/relationships/sharedStrings" Target="/xl/sharedStrings.xml" Id="Rf549f07a9ddb4ce8" /><Relationship Type="http://schemas.openxmlformats.org/officeDocument/2006/relationships/worksheet" Target="/xl/worksheets/sheet1.xml" Id="R2d9366b1282a491c" /><Relationship Type="http://schemas.openxmlformats.org/officeDocument/2006/relationships/worksheet" Target="/xl/worksheets/sheet2.xml" Id="Rd050871a4fc046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C4D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" hidden="0" customWidth="1"/>
    <x:col min="8" max="8" width="23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2">
      <x:c r="A2" s="2" t="str">
        <x:v>September 2026 income and outflow budget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8" customHeight="1">
      <x:c r="A3" s="3" t="str">
        <x:v>Atlas tourism product launch | sample data in CNY. Simulated bookings affect projections, not actual income or expense.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5" t="str">
        <x:v>INCOME</x:v>
      </x:c>
      <x:c r="B5" s="5" t="str">
        <x:v>Budget</x:v>
      </x:c>
      <x:c r="C5" s="5" t="str">
        <x:v>Actual</x:v>
      </x:c>
      <x:c r="D5" s="5" t="str">
        <x:v>Simulated pipeline</x:v>
      </x:c>
      <x:c r="E5" s="5" t="str">
        <x:v>Projected income</x:v>
      </x:c>
      <x:c r="F5" s="5" t="str">
        <x:v>Forecast variance</x:v>
      </x:c>
      <x:c r="G5" s="1"/>
      <x:c r="H5" s="7" t="str">
        <x:v>OUTFLOW</x:v>
      </x:c>
      <x:c r="I5" s="7" t="str">
        <x:v>Budget</x:v>
      </x:c>
      <x:c r="J5" s="7" t="str">
        <x:v>Actual</x:v>
      </x:c>
      <x:c r="K5" s="7" t="str">
        <x:v>Simulated commitment</x:v>
      </x:c>
      <x:c r="L5" s="7" t="str">
        <x:v>Projected outflow</x:v>
      </x:c>
      <x:c r="M5" s="7" t="str">
        <x:v>Budget remaining</x:v>
      </x:c>
    </x:row>
    <x:row r="6">
      <x:c r="A6" s="14" t="str">
        <x:v>September total</x:v>
      </x:c>
      <x:c r="B6" s="18" t="n">
        <x:f>SUM(B10:B29)</x:f>
        <x:v>150000</x:v>
      </x:c>
      <x:c r="C6" s="18" t="n">
        <x:f>SUM(C10:C29)</x:f>
        <x:v>52000</x:v>
      </x:c>
      <x:c r="D6" s="18" t="n">
        <x:f>SUM(D10:D29)</x:f>
        <x:v>0</x:v>
      </x:c>
      <x:c r="E6" s="18" t="n">
        <x:f>SUM(E10:E29)</x:f>
        <x:v>52000</x:v>
      </x:c>
      <x:c r="F6" s="18" t="n">
        <x:f>SUM(F10:F29)</x:f>
        <x:v>-98000</x:v>
      </x:c>
      <x:c r="G6" s="15"/>
      <x:c r="H6" s="16" t="str">
        <x:v>September total</x:v>
      </x:c>
      <x:c r="I6" s="22" t="n">
        <x:f>SUM(I10:I29)</x:f>
        <x:v>145000</x:v>
      </x:c>
      <x:c r="J6" s="22" t="n">
        <x:f>SUM(J10:J29)</x:f>
        <x:v>56500</x:v>
      </x:c>
      <x:c r="K6" s="22" t="n">
        <x:f>SUM(K10:K29)</x:f>
        <x:v>0</x:v>
      </x:c>
      <x:c r="L6" s="22" t="n">
        <x:f>SUM(L10:L29)</x:f>
        <x:v>56500</x:v>
      </x:c>
      <x:c r="M6" s="22" t="n">
        <x:f>SUM(M10:M29)</x:f>
        <x:v>88500</x:v>
      </x:c>
    </x:row>
    <x:row r="7">
      <x:c r="A7" s="14" t="str">
        <x:v>Actual margin</x:v>
      </x:c>
      <x:c r="B7" s="18" t="n">
        <x:f>C6-J6</x:f>
        <x:v>-4500</x:v>
      </x:c>
      <x:c r="C7" s="18"/>
      <x:c r="D7" s="18"/>
      <x:c r="E7" s="18"/>
      <x:c r="F7" s="18"/>
      <x:c r="G7" s="15"/>
      <x:c r="H7" s="16" t="str">
        <x:v>Projected margin</x:v>
      </x:c>
      <x:c r="I7" s="22" t="n">
        <x:f>E6-L6</x:f>
        <x:v>-4500</x:v>
      </x:c>
      <x:c r="J7" s="22"/>
      <x:c r="K7" s="22"/>
      <x:c r="L7" s="22"/>
      <x:c r="M7" s="22"/>
    </x:row>
    <x:row r="8">
      <x:c r="A8" s="1"/>
      <x:c r="B8" s="19"/>
      <x:c r="C8" s="19"/>
      <x:c r="D8" s="19"/>
      <x:c r="E8" s="19"/>
      <x:c r="F8" s="19"/>
      <x:c r="G8" s="1"/>
      <x:c r="H8" s="1"/>
      <x:c r="I8" s="19"/>
      <x:c r="J8" s="19"/>
      <x:c r="K8" s="19"/>
      <x:c r="L8" s="19"/>
      <x:c r="M8" s="19"/>
    </x:row>
    <x:row r="9">
      <x:c r="A9" s="9" t="str">
        <x:v>Customer</x:v>
      </x:c>
      <x:c r="B9" s="20" t="str">
        <x:v>Budget</x:v>
      </x:c>
      <x:c r="C9" s="20" t="str">
        <x:v>Actual</x:v>
      </x:c>
      <x:c r="D9" s="20" t="str">
        <x:v>Simulated pipeline</x:v>
      </x:c>
      <x:c r="E9" s="20" t="str">
        <x:v>Projected income</x:v>
      </x:c>
      <x:c r="F9" s="20" t="str">
        <x:v>Forecast variance</x:v>
      </x:c>
      <x:c r="G9" s="1"/>
      <x:c r="H9" s="11" t="str">
        <x:v>Expense category</x:v>
      </x:c>
      <x:c r="I9" s="23" t="str">
        <x:v>Budget</x:v>
      </x:c>
      <x:c r="J9" s="23" t="str">
        <x:v>Actual</x:v>
      </x:c>
      <x:c r="K9" s="23" t="str">
        <x:v>Simulated commitment</x:v>
      </x:c>
      <x:c r="L9" s="23" t="str">
        <x:v>Projected outflow</x:v>
      </x:c>
      <x:c r="M9" s="23" t="str">
        <x:v>Budget remaining</x:v>
      </x:c>
    </x:row>
    <x:row r="10">
      <x:c r="A10" s="1" t="str">
        <x:v>Koru Travel</x:v>
      </x:c>
      <x:c r="B10" s="21" t="n">
        <x:v>40000</x:v>
      </x:c>
      <x:c r="C10" s="21" t="n">
        <x:v>18000</x:v>
      </x:c>
      <x:c r="D10" s="21" t="n">
        <x:v>0</x:v>
      </x:c>
      <x:c r="E10" s="19" t="n">
        <x:f>IF(A10="","",C10+D10)</x:f>
        <x:v>18000</x:v>
      </x:c>
      <x:c r="F10" s="19" t="n">
        <x:f>IF(A10="","",E10-B10)</x:f>
        <x:v>-22000</x:v>
      </x:c>
      <x:c r="G10" s="1"/>
      <x:c r="H10" s="1" t="str">
        <x:v>Flights</x:v>
      </x:c>
      <x:c r="I10" s="21" t="n">
        <x:v>45000</x:v>
      </x:c>
      <x:c r="J10" s="21" t="n">
        <x:v>18500</x:v>
      </x:c>
      <x:c r="K10" s="21" t="n">
        <x:v>0</x:v>
      </x:c>
      <x:c r="L10" s="19" t="n">
        <x:f>IF(H10="","",J10+K10)</x:f>
        <x:v>18500</x:v>
      </x:c>
      <x:c r="M10" s="19" t="n">
        <x:f>IF(H10="","",I10-L10)</x:f>
        <x:v>26500</x:v>
      </x:c>
    </x:row>
    <x:row r="11">
      <x:c r="A11" s="1" t="str">
        <x:v>Riverstone Group</x:v>
      </x:c>
      <x:c r="B11" s="21" t="n">
        <x:v>55000</x:v>
      </x:c>
      <x:c r="C11" s="21" t="n">
        <x:v>22000</x:v>
      </x:c>
      <x:c r="D11" s="21" t="n">
        <x:v>0</x:v>
      </x:c>
      <x:c r="E11" s="19" t="n">
        <x:f>IF(A11="","",C11+D11)</x:f>
        <x:v>22000</x:v>
      </x:c>
      <x:c r="F11" s="19" t="n">
        <x:f>IF(A11="","",E11-B11)</x:f>
        <x:v>-33000</x:v>
      </x:c>
      <x:c r="G11" s="1"/>
      <x:c r="H11" s="1" t="str">
        <x:v>Hotels</x:v>
      </x:c>
      <x:c r="I11" s="21" t="n">
        <x:v>38000</x:v>
      </x:c>
      <x:c r="J11" s="21" t="n">
        <x:v>14000</x:v>
      </x:c>
      <x:c r="K11" s="21" t="n">
        <x:v>0</x:v>
      </x:c>
      <x:c r="L11" s="19" t="n">
        <x:f>IF(H11="","",J11+K11)</x:f>
        <x:v>14000</x:v>
      </x:c>
      <x:c r="M11" s="19" t="n">
        <x:f>IF(H11="","",I11-L11)</x:f>
        <x:v>24000</x:v>
      </x:c>
    </x:row>
    <x:row r="12">
      <x:c r="A12" s="1" t="str">
        <x:v>Pine Studio</x:v>
      </x:c>
      <x:c r="B12" s="21" t="n">
        <x:v>30000</x:v>
      </x:c>
      <x:c r="C12" s="21" t="n">
        <x:v>12000</x:v>
      </x:c>
      <x:c r="D12" s="21" t="n">
        <x:v>0</x:v>
      </x:c>
      <x:c r="E12" s="19" t="n">
        <x:f>IF(A12="","",C12+D12)</x:f>
        <x:v>12000</x:v>
      </x:c>
      <x:c r="F12" s="19" t="n">
        <x:f>IF(A12="","",E12-B12)</x:f>
        <x:v>-18000</x:v>
      </x:c>
      <x:c r="G12" s="1"/>
      <x:c r="H12" s="1" t="str">
        <x:v>Guides</x:v>
      </x:c>
      <x:c r="I12" s="21" t="n">
        <x:v>12000</x:v>
      </x:c>
      <x:c r="J12" s="21" t="n">
        <x:v>3500</x:v>
      </x:c>
      <x:c r="K12" s="21" t="n">
        <x:v>0</x:v>
      </x:c>
      <x:c r="L12" s="19" t="n">
        <x:f>IF(H12="","",J12+K12)</x:f>
        <x:v>3500</x:v>
      </x:c>
      <x:c r="M12" s="19" t="n">
        <x:f>IF(H12="","",I12-L12)</x:f>
        <x:v>8500</x:v>
      </x:c>
    </x:row>
    <x:row r="13">
      <x:c r="A13" s="1" t="str">
        <x:v>New launch customers</x:v>
      </x:c>
      <x:c r="B13" s="21" t="n">
        <x:v>25000</x:v>
      </x:c>
      <x:c r="C13" s="21" t="n">
        <x:v>0</x:v>
      </x:c>
      <x:c r="D13" s="21" t="n">
        <x:v>0</x:v>
      </x:c>
      <x:c r="E13" s="19" t="n">
        <x:f>IF(A13="","",C13+D13)</x:f>
        <x:v>0</x:v>
      </x:c>
      <x:c r="F13" s="19" t="n">
        <x:f>IF(A13="","",E13-B13)</x:f>
        <x:v>-25000</x:v>
      </x:c>
      <x:c r="G13" s="1"/>
      <x:c r="H13" s="1" t="str">
        <x:v>Transport</x:v>
      </x:c>
      <x:c r="I13" s="21" t="n">
        <x:v>18000</x:v>
      </x:c>
      <x:c r="J13" s="21" t="n">
        <x:v>7200</x:v>
      </x:c>
      <x:c r="K13" s="21" t="n">
        <x:v>0</x:v>
      </x:c>
      <x:c r="L13" s="19" t="n">
        <x:f>IF(H13="","",J13+K13)</x:f>
        <x:v>7200</x:v>
      </x:c>
      <x:c r="M13" s="19" t="n">
        <x:f>IF(H13="","",I13-L13)</x:f>
        <x:v>10800</x:v>
      </x:c>
    </x:row>
    <x:row r="14">
      <x:c r="A14" s="1"/>
      <x:c r="B14" s="21"/>
      <x:c r="C14" s="21"/>
      <x:c r="D14" s="21"/>
      <x:c r="E14" s="19" t="str">
        <x:f>IF(A14="","",C14+D14)</x:f>
      </x:c>
      <x:c r="F14" s="19" t="str">
        <x:f>IF(A14="","",E14-B14)</x:f>
      </x:c>
      <x:c r="G14" s="1"/>
      <x:c r="H14" s="1" t="str">
        <x:v>Activities</x:v>
      </x:c>
      <x:c r="I14" s="21" t="n">
        <x:v>15000</x:v>
      </x:c>
      <x:c r="J14" s="21" t="n">
        <x:v>6100</x:v>
      </x:c>
      <x:c r="K14" s="21" t="n">
        <x:v>0</x:v>
      </x:c>
      <x:c r="L14" s="19" t="n">
        <x:f>IF(H14="","",J14+K14)</x:f>
        <x:v>6100</x:v>
      </x:c>
      <x:c r="M14" s="19" t="n">
        <x:f>IF(H14="","",I14-L14)</x:f>
        <x:v>8900</x:v>
      </x:c>
    </x:row>
    <x:row r="15">
      <x:c r="A15" s="1"/>
      <x:c r="B15" s="21"/>
      <x:c r="C15" s="21"/>
      <x:c r="D15" s="21"/>
      <x:c r="E15" s="19" t="str">
        <x:f>IF(A15="","",C15+D15)</x:f>
      </x:c>
      <x:c r="F15" s="19" t="str">
        <x:f>IF(A15="","",E15-B15)</x:f>
      </x:c>
      <x:c r="G15" s="1"/>
      <x:c r="H15" s="1" t="str">
        <x:v>Marketing</x:v>
      </x:c>
      <x:c r="I15" s="21" t="n">
        <x:v>10000</x:v>
      </x:c>
      <x:c r="J15" s="21" t="n">
        <x:v>4800</x:v>
      </x:c>
      <x:c r="K15" s="21" t="n">
        <x:v>0</x:v>
      </x:c>
      <x:c r="L15" s="19" t="n">
        <x:f>IF(H15="","",J15+K15)</x:f>
        <x:v>4800</x:v>
      </x:c>
      <x:c r="M15" s="19" t="n">
        <x:f>IF(H15="","",I15-L15)</x:f>
        <x:v>5200</x:v>
      </x:c>
    </x:row>
    <x:row r="16">
      <x:c r="A16" s="1"/>
      <x:c r="B16" s="21"/>
      <x:c r="C16" s="21"/>
      <x:c r="D16" s="21"/>
      <x:c r="E16" s="19" t="str">
        <x:f>IF(A16="","",C16+D16)</x:f>
      </x:c>
      <x:c r="F16" s="19" t="str">
        <x:f>IF(A16="","",E16-B16)</x:f>
      </x:c>
      <x:c r="G16" s="1"/>
      <x:c r="H16" s="1" t="str">
        <x:v>Customer care</x:v>
      </x:c>
      <x:c r="I16" s="21" t="n">
        <x:v>7000</x:v>
      </x:c>
      <x:c r="J16" s="21" t="n">
        <x:v>2400</x:v>
      </x:c>
      <x:c r="K16" s="21" t="n">
        <x:v>0</x:v>
      </x:c>
      <x:c r="L16" s="19" t="n">
        <x:f>IF(H16="","",J16+K16)</x:f>
        <x:v>2400</x:v>
      </x:c>
      <x:c r="M16" s="19" t="n">
        <x:f>IF(H16="","",I16-L16)</x:f>
        <x:v>4600</x:v>
      </x:c>
    </x:row>
    <x:row r="17">
      <x:c r="A17" s="1"/>
      <x:c r="B17" s="21"/>
      <x:c r="C17" s="21"/>
      <x:c r="D17" s="21"/>
      <x:c r="E17" s="19" t="str">
        <x:f>IF(A17="","",C17+D17)</x:f>
      </x:c>
      <x:c r="F17" s="19" t="str">
        <x:f>IF(A17="","",E17-B17)</x:f>
      </x:c>
      <x:c r="G17" s="1"/>
      <x:c r="H17" s="1"/>
      <x:c r="I17" s="21"/>
      <x:c r="J17" s="21"/>
      <x:c r="K17" s="21"/>
      <x:c r="L17" s="19" t="str">
        <x:f>IF(H17="","",J17+K17)</x:f>
      </x:c>
      <x:c r="M17" s="19" t="str">
        <x:f>IF(H17="","",I17-L17)</x:f>
      </x:c>
    </x:row>
    <x:row r="18">
      <x:c r="A18" s="1"/>
      <x:c r="B18" s="21"/>
      <x:c r="C18" s="21"/>
      <x:c r="D18" s="21"/>
      <x:c r="E18" s="19" t="str">
        <x:f>IF(A18="","",C18+D18)</x:f>
      </x:c>
      <x:c r="F18" s="19" t="str">
        <x:f>IF(A18="","",E18-B18)</x:f>
      </x:c>
      <x:c r="G18" s="1"/>
      <x:c r="H18" s="1"/>
      <x:c r="I18" s="21"/>
      <x:c r="J18" s="21"/>
      <x:c r="K18" s="21"/>
      <x:c r="L18" s="19" t="str">
        <x:f>IF(H18="","",J18+K18)</x:f>
      </x:c>
      <x:c r="M18" s="19" t="str">
        <x:f>IF(H18="","",I18-L18)</x:f>
      </x:c>
    </x:row>
    <x:row r="19">
      <x:c r="A19" s="1"/>
      <x:c r="B19" s="21"/>
      <x:c r="C19" s="21"/>
      <x:c r="D19" s="21"/>
      <x:c r="E19" s="19" t="str">
        <x:f>IF(A19="","",C19+D19)</x:f>
      </x:c>
      <x:c r="F19" s="19" t="str">
        <x:f>IF(A19="","",E19-B19)</x:f>
      </x:c>
      <x:c r="G19" s="1"/>
      <x:c r="H19" s="1"/>
      <x:c r="I19" s="21"/>
      <x:c r="J19" s="21"/>
      <x:c r="K19" s="21"/>
      <x:c r="L19" s="19" t="str">
        <x:f>IF(H19="","",J19+K19)</x:f>
      </x:c>
      <x:c r="M19" s="19" t="str">
        <x:f>IF(H19="","",I19-L19)</x:f>
      </x:c>
    </x:row>
    <x:row r="20">
      <x:c r="A20" s="1"/>
      <x:c r="B20" s="21"/>
      <x:c r="C20" s="21"/>
      <x:c r="D20" s="21"/>
      <x:c r="E20" s="19" t="str">
        <x:f>IF(A20="","",C20+D20)</x:f>
      </x:c>
      <x:c r="F20" s="19" t="str">
        <x:f>IF(A20="","",E20-B20)</x:f>
      </x:c>
      <x:c r="G20" s="1"/>
      <x:c r="H20" s="1"/>
      <x:c r="I20" s="21"/>
      <x:c r="J20" s="21"/>
      <x:c r="K20" s="21"/>
      <x:c r="L20" s="19" t="str">
        <x:f>IF(H20="","",J20+K20)</x:f>
      </x:c>
      <x:c r="M20" s="19" t="str">
        <x:f>IF(H20="","",I20-L20)</x:f>
      </x:c>
    </x:row>
    <x:row r="21">
      <x:c r="A21" s="1"/>
      <x:c r="B21" s="21"/>
      <x:c r="C21" s="21"/>
      <x:c r="D21" s="21"/>
      <x:c r="E21" s="19" t="str">
        <x:f>IF(A21="","",C21+D21)</x:f>
      </x:c>
      <x:c r="F21" s="19" t="str">
        <x:f>IF(A21="","",E21-B21)</x:f>
      </x:c>
      <x:c r="G21" s="1"/>
      <x:c r="H21" s="1"/>
      <x:c r="I21" s="21"/>
      <x:c r="J21" s="21"/>
      <x:c r="K21" s="21"/>
      <x:c r="L21" s="19" t="str">
        <x:f>IF(H21="","",J21+K21)</x:f>
      </x:c>
      <x:c r="M21" s="19" t="str">
        <x:f>IF(H21="","",I21-L21)</x:f>
      </x:c>
    </x:row>
    <x:row r="22">
      <x:c r="A22" s="1"/>
      <x:c r="B22" s="21"/>
      <x:c r="C22" s="21"/>
      <x:c r="D22" s="21"/>
      <x:c r="E22" s="19" t="str">
        <x:f>IF(A22="","",C22+D22)</x:f>
      </x:c>
      <x:c r="F22" s="19" t="str">
        <x:f>IF(A22="","",E22-B22)</x:f>
      </x:c>
      <x:c r="G22" s="1"/>
      <x:c r="H22" s="1"/>
      <x:c r="I22" s="21"/>
      <x:c r="J22" s="21"/>
      <x:c r="K22" s="21"/>
      <x:c r="L22" s="19" t="str">
        <x:f>IF(H22="","",J22+K22)</x:f>
      </x:c>
      <x:c r="M22" s="19" t="str">
        <x:f>IF(H22="","",I22-L22)</x:f>
      </x:c>
    </x:row>
    <x:row r="23">
      <x:c r="A23" s="1"/>
      <x:c r="B23" s="21"/>
      <x:c r="C23" s="21"/>
      <x:c r="D23" s="21"/>
      <x:c r="E23" s="19" t="str">
        <x:f>IF(A23="","",C23+D23)</x:f>
      </x:c>
      <x:c r="F23" s="19" t="str">
        <x:f>IF(A23="","",E23-B23)</x:f>
      </x:c>
      <x:c r="G23" s="1"/>
      <x:c r="H23" s="1"/>
      <x:c r="I23" s="21"/>
      <x:c r="J23" s="21"/>
      <x:c r="K23" s="21"/>
      <x:c r="L23" s="19" t="str">
        <x:f>IF(H23="","",J23+K23)</x:f>
      </x:c>
      <x:c r="M23" s="19" t="str">
        <x:f>IF(H23="","",I23-L23)</x:f>
      </x:c>
    </x:row>
    <x:row r="24">
      <x:c r="A24" s="1"/>
      <x:c r="B24" s="21"/>
      <x:c r="C24" s="21"/>
      <x:c r="D24" s="21"/>
      <x:c r="E24" s="19" t="str">
        <x:f>IF(A24="","",C24+D24)</x:f>
      </x:c>
      <x:c r="F24" s="19" t="str">
        <x:f>IF(A24="","",E24-B24)</x:f>
      </x:c>
      <x:c r="G24" s="1"/>
      <x:c r="H24" s="1"/>
      <x:c r="I24" s="21"/>
      <x:c r="J24" s="21"/>
      <x:c r="K24" s="21"/>
      <x:c r="L24" s="19" t="str">
        <x:f>IF(H24="","",J24+K24)</x:f>
      </x:c>
      <x:c r="M24" s="19" t="str">
        <x:f>IF(H24="","",I24-L24)</x:f>
      </x:c>
    </x:row>
    <x:row r="25">
      <x:c r="A25" s="1"/>
      <x:c r="B25" s="21"/>
      <x:c r="C25" s="21"/>
      <x:c r="D25" s="21"/>
      <x:c r="E25" s="19" t="str">
        <x:f>IF(A25="","",C25+D25)</x:f>
      </x:c>
      <x:c r="F25" s="19" t="str">
        <x:f>IF(A25="","",E25-B25)</x:f>
      </x:c>
      <x:c r="G25" s="1"/>
      <x:c r="H25" s="1"/>
      <x:c r="I25" s="21"/>
      <x:c r="J25" s="21"/>
      <x:c r="K25" s="21"/>
      <x:c r="L25" s="19" t="str">
        <x:f>IF(H25="","",J25+K25)</x:f>
      </x:c>
      <x:c r="M25" s="19" t="str">
        <x:f>IF(H25="","",I25-L25)</x:f>
      </x:c>
    </x:row>
    <x:row r="26">
      <x:c r="A26" s="1"/>
      <x:c r="B26" s="21"/>
      <x:c r="C26" s="21"/>
      <x:c r="D26" s="21"/>
      <x:c r="E26" s="19" t="str">
        <x:f>IF(A26="","",C26+D26)</x:f>
      </x:c>
      <x:c r="F26" s="19" t="str">
        <x:f>IF(A26="","",E26-B26)</x:f>
      </x:c>
      <x:c r="G26" s="1"/>
      <x:c r="H26" s="1"/>
      <x:c r="I26" s="21"/>
      <x:c r="J26" s="21"/>
      <x:c r="K26" s="21"/>
      <x:c r="L26" s="19" t="str">
        <x:f>IF(H26="","",J26+K26)</x:f>
      </x:c>
      <x:c r="M26" s="19" t="str">
        <x:f>IF(H26="","",I26-L26)</x:f>
      </x:c>
    </x:row>
    <x:row r="27">
      <x:c r="A27" s="1"/>
      <x:c r="B27" s="21"/>
      <x:c r="C27" s="21"/>
      <x:c r="D27" s="21"/>
      <x:c r="E27" s="19" t="str">
        <x:f>IF(A27="","",C27+D27)</x:f>
      </x:c>
      <x:c r="F27" s="19" t="str">
        <x:f>IF(A27="","",E27-B27)</x:f>
      </x:c>
      <x:c r="G27" s="1"/>
      <x:c r="H27" s="1"/>
      <x:c r="I27" s="21"/>
      <x:c r="J27" s="21"/>
      <x:c r="K27" s="21"/>
      <x:c r="L27" s="19" t="str">
        <x:f>IF(H27="","",J27+K27)</x:f>
      </x:c>
      <x:c r="M27" s="19" t="str">
        <x:f>IF(H27="","",I27-L27)</x:f>
      </x:c>
    </x:row>
    <x:row r="28">
      <x:c r="A28" s="1"/>
      <x:c r="B28" s="21"/>
      <x:c r="C28" s="21"/>
      <x:c r="D28" s="21"/>
      <x:c r="E28" s="19" t="str">
        <x:f>IF(A28="","",C28+D28)</x:f>
      </x:c>
      <x:c r="F28" s="19" t="str">
        <x:f>IF(A28="","",E28-B28)</x:f>
      </x:c>
      <x:c r="G28" s="1"/>
      <x:c r="H28" s="1"/>
      <x:c r="I28" s="21"/>
      <x:c r="J28" s="21"/>
      <x:c r="K28" s="21"/>
      <x:c r="L28" s="19" t="str">
        <x:f>IF(H28="","",J28+K28)</x:f>
      </x:c>
      <x:c r="M28" s="19" t="str">
        <x:f>IF(H28="","",I28-L28)</x:f>
      </x:c>
    </x:row>
    <x:row r="29">
      <x:c r="A29" s="1"/>
      <x:c r="B29" s="21"/>
      <x:c r="C29" s="21"/>
      <x:c r="D29" s="21"/>
      <x:c r="E29" s="19" t="str">
        <x:f>IF(A29="","",C29+D29)</x:f>
      </x:c>
      <x:c r="F29" s="19" t="str">
        <x:f>IF(A29="","",E29-B29)</x:f>
      </x:c>
      <x:c r="G29" s="1"/>
      <x:c r="H29" s="1"/>
      <x:c r="I29" s="21"/>
      <x:c r="J29" s="21"/>
      <x:c r="K29" s="21"/>
      <x:c r="L29" s="19" t="str">
        <x:f>IF(H29="","",J29+K29)</x:f>
      </x:c>
      <x:c r="M29" s="19" t="str">
        <x:f>IF(H29="","",I29-L29)</x:f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8" customHeight="1">
      <x:c r="A31" s="1" t="str">
        <x:v>Actual = recorded transactions. Simulated pipeline and commitment = proposed product-launch work only. No booking or payment occurred.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</x:sheetData>
  <x:conditionalFormatting sqref="M10:M2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  <x:col min="7" max="7" width="24" hidden="0" customWidth="1"/>
    <x:col min="8" max="8" width="24" hidden="0" customWidth="1"/>
  </x:cols>
  <x:sheetData>
    <x:row r="2">
      <x:c r="A2" s="2" t="str">
        <x:v>Simulated booking commitments</x:v>
      </x:c>
      <x:c r="B2" s="1"/>
      <x:c r="C2" s="1"/>
      <x:c r="D2" s="1"/>
      <x:c r="E2" s="1"/>
      <x:c r="F2" s="1"/>
      <x:c r="G2" s="1"/>
      <x:c r="H2" s="1"/>
    </x:row>
    <x:row r="3">
      <x:c r="A3" s="3" t="str">
        <x:v>Reviewed updates change projected income and outflow, not Actual. This register is a demonstration, not a general ledger.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9" t="str">
        <x:v>Booking ID</x:v>
      </x:c>
      <x:c r="B5" s="9" t="str">
        <x:v>Customer</x:v>
      </x:c>
      <x:c r="C5" s="9" t="str">
        <x:v>Status</x:v>
      </x:c>
      <x:c r="D5" s="9" t="str">
        <x:v>Quote (CNY)</x:v>
      </x:c>
      <x:c r="E5" s="9" t="str">
        <x:v>Expense category</x:v>
      </x:c>
      <x:c r="F5" s="9" t="str">
        <x:v>Committed (CNY)</x:v>
      </x:c>
      <x:c r="G5" s="9" t="str">
        <x:v>Reviewed by</x:v>
      </x:c>
      <x:c r="H5" s="9" t="str">
        <x:v>Recorded at</x:v>
      </x:c>
    </x:row>
    <x:row r="6">
      <x:c r="A6" s="1"/>
      <x:c r="B6" s="1"/>
      <x:c r="C6" s="1"/>
      <x:c r="D6" s="1"/>
      <x:c r="E6" s="1"/>
      <x:c r="F6" s="1"/>
      <x:c r="G6" s="1"/>
      <x:c r="H6" s="1"/>
    </x:row>
  </x:sheetData>
  <x:pageMargins left="0.7" right="0.7" top="0.75" bottom="0.75" header="0.3" footer="0.3"/>
</x:worksheet>
</file>